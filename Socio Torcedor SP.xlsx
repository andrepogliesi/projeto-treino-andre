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Pessoal\"/>
    </mc:Choice>
  </mc:AlternateContent>
  <xr:revisionPtr revIDLastSave="0" documentId="13_ncr:1_{B26C24EA-CB69-45C6-A689-A0585A499994}" xr6:coauthVersionLast="36" xr6:coauthVersionMax="36" xr10:uidLastSave="{00000000-0000-0000-0000-000000000000}"/>
  <bookViews>
    <workbookView xWindow="0" yWindow="0" windowWidth="28800" windowHeight="10530" xr2:uid="{54B15782-A942-4079-91C6-D0F63475F159}"/>
  </bookViews>
  <sheets>
    <sheet name="Planilha1 (2)" sheetId="3" r:id="rId1"/>
    <sheet name="Planilha1" sheetId="1" r:id="rId2"/>
    <sheet name="Planilha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3" l="1"/>
  <c r="J7" i="3"/>
  <c r="J9" i="3"/>
  <c r="I9" i="3"/>
  <c r="N4" i="3"/>
  <c r="Q4" i="3" s="1"/>
  <c r="K4" i="3"/>
  <c r="J4" i="3"/>
  <c r="H4" i="3"/>
  <c r="G4" i="3"/>
  <c r="F4" i="3"/>
  <c r="I4" i="3" s="1"/>
  <c r="N3" i="3"/>
  <c r="U3" i="3" s="1"/>
  <c r="K3" i="3"/>
  <c r="J3" i="3"/>
  <c r="H3" i="3"/>
  <c r="G3" i="3"/>
  <c r="F3" i="3"/>
  <c r="J2" i="3"/>
  <c r="H2" i="3"/>
  <c r="G2" i="3"/>
  <c r="F2" i="3"/>
  <c r="N2" i="3" s="1"/>
  <c r="U2" i="3" s="1"/>
  <c r="J14" i="3"/>
  <c r="H14" i="3"/>
  <c r="G14" i="3"/>
  <c r="F14" i="3"/>
  <c r="N14" i="3" s="1"/>
  <c r="Q14" i="3" s="1"/>
  <c r="J13" i="3"/>
  <c r="H13" i="3"/>
  <c r="G13" i="3"/>
  <c r="F13" i="3"/>
  <c r="K13" i="3" s="1"/>
  <c r="J12" i="3"/>
  <c r="H12" i="3"/>
  <c r="G12" i="3"/>
  <c r="F12" i="3"/>
  <c r="N12" i="3" s="1"/>
  <c r="Q12" i="3" s="1"/>
  <c r="J11" i="3"/>
  <c r="H11" i="3"/>
  <c r="G11" i="3"/>
  <c r="F11" i="3"/>
  <c r="N11" i="3" s="1"/>
  <c r="Q11" i="3" s="1"/>
  <c r="J10" i="3"/>
  <c r="H10" i="3"/>
  <c r="G10" i="3"/>
  <c r="F10" i="3"/>
  <c r="K10" i="3" s="1"/>
  <c r="H9" i="3"/>
  <c r="G9" i="3"/>
  <c r="F9" i="3"/>
  <c r="K9" i="3" s="1"/>
  <c r="J8" i="3"/>
  <c r="H8" i="3"/>
  <c r="G8" i="3"/>
  <c r="F8" i="3"/>
  <c r="K8" i="3" s="1"/>
  <c r="H7" i="3"/>
  <c r="G7" i="3"/>
  <c r="F7" i="3"/>
  <c r="K7" i="3" s="1"/>
  <c r="J6" i="3"/>
  <c r="H6" i="3"/>
  <c r="G6" i="3"/>
  <c r="F6" i="3"/>
  <c r="K6" i="3" s="1"/>
  <c r="J5" i="3"/>
  <c r="F5" i="3"/>
  <c r="K5" i="3" s="1"/>
  <c r="H5" i="3"/>
  <c r="G5" i="3"/>
  <c r="E3" i="1"/>
  <c r="E4" i="1"/>
  <c r="E5" i="1"/>
  <c r="E6" i="1"/>
  <c r="E7" i="1"/>
  <c r="E8" i="1"/>
  <c r="E9" i="1"/>
  <c r="E10" i="1"/>
  <c r="E11" i="1"/>
  <c r="E2" i="1"/>
  <c r="D11" i="1"/>
  <c r="D10" i="1"/>
  <c r="D9" i="1"/>
  <c r="D8" i="1"/>
  <c r="D7" i="1"/>
  <c r="D5" i="1"/>
  <c r="D4" i="1"/>
  <c r="D3" i="1"/>
  <c r="U4" i="3" l="1"/>
  <c r="L4" i="3"/>
  <c r="V4" i="3"/>
  <c r="W4" i="3" s="1"/>
  <c r="K2" i="3"/>
  <c r="I3" i="3"/>
  <c r="V3" i="3" s="1"/>
  <c r="W3" i="3" s="1"/>
  <c r="L3" i="3"/>
  <c r="Q3" i="3"/>
  <c r="I2" i="3"/>
  <c r="V2" i="3" s="1"/>
  <c r="W2" i="3" s="1"/>
  <c r="Q2" i="3"/>
  <c r="U14" i="3"/>
  <c r="U12" i="3"/>
  <c r="U11" i="3"/>
  <c r="I8" i="3"/>
  <c r="V8" i="3" s="1"/>
  <c r="I11" i="3"/>
  <c r="I5" i="3"/>
  <c r="I13" i="3"/>
  <c r="V13" i="3" s="1"/>
  <c r="N9" i="3"/>
  <c r="I6" i="3"/>
  <c r="I14" i="3"/>
  <c r="L14" i="3" s="1"/>
  <c r="O14" i="3" s="1"/>
  <c r="N8" i="3"/>
  <c r="N10" i="3"/>
  <c r="N5" i="3"/>
  <c r="N7" i="3"/>
  <c r="I12" i="3"/>
  <c r="N6" i="3"/>
  <c r="V9" i="3"/>
  <c r="N13" i="3"/>
  <c r="I10" i="3"/>
  <c r="K11" i="3"/>
  <c r="K12" i="3"/>
  <c r="R4" i="3" l="1"/>
  <c r="S4" i="3" s="1"/>
  <c r="O4" i="3"/>
  <c r="L2" i="3"/>
  <c r="R2" i="3" s="1"/>
  <c r="S2" i="3" s="1"/>
  <c r="R3" i="3"/>
  <c r="S3" i="3" s="1"/>
  <c r="O3" i="3"/>
  <c r="Q7" i="3"/>
  <c r="U7" i="3"/>
  <c r="L5" i="3"/>
  <c r="O5" i="3" s="1"/>
  <c r="R5" i="3"/>
  <c r="V11" i="3"/>
  <c r="W11" i="3" s="1"/>
  <c r="Q10" i="3"/>
  <c r="U10" i="3"/>
  <c r="L8" i="3"/>
  <c r="R8" i="3"/>
  <c r="Q13" i="3"/>
  <c r="U13" i="3"/>
  <c r="W13" i="3" s="1"/>
  <c r="Q8" i="3"/>
  <c r="U8" i="3"/>
  <c r="W8" i="3" s="1"/>
  <c r="L6" i="3"/>
  <c r="O6" i="3" s="1"/>
  <c r="V6" i="3"/>
  <c r="R6" i="3"/>
  <c r="S6" i="3" s="1"/>
  <c r="V10" i="3"/>
  <c r="O2" i="3"/>
  <c r="Q5" i="3"/>
  <c r="U5" i="3"/>
  <c r="L7" i="3"/>
  <c r="R7" i="3" s="1"/>
  <c r="V7" i="3"/>
  <c r="W7" i="3" s="1"/>
  <c r="L9" i="3"/>
  <c r="O9" i="3" s="1"/>
  <c r="R14" i="3"/>
  <c r="S14" i="3" s="1"/>
  <c r="V14" i="3"/>
  <c r="W14" i="3" s="1"/>
  <c r="V5" i="3"/>
  <c r="W5" i="3" s="1"/>
  <c r="Q6" i="3"/>
  <c r="U6" i="3"/>
  <c r="W6" i="3" s="1"/>
  <c r="L13" i="3"/>
  <c r="O13" i="3" s="1"/>
  <c r="R12" i="3"/>
  <c r="S12" i="3" s="1"/>
  <c r="Q9" i="3"/>
  <c r="U9" i="3"/>
  <c r="W9" i="3" s="1"/>
  <c r="V12" i="3"/>
  <c r="W12" i="3" s="1"/>
  <c r="L11" i="3"/>
  <c r="O11" i="3" s="1"/>
  <c r="L12" i="3"/>
  <c r="O12" i="3" s="1"/>
  <c r="L10" i="3"/>
  <c r="O10" i="3" s="1"/>
  <c r="O8" i="3"/>
  <c r="R9" i="3" l="1"/>
  <c r="S9" i="3" s="1"/>
  <c r="O7" i="3"/>
  <c r="R13" i="3"/>
  <c r="S13" i="3" s="1"/>
  <c r="R10" i="3"/>
  <c r="S10" i="3" s="1"/>
  <c r="W10" i="3"/>
  <c r="R11" i="3"/>
  <c r="S11" i="3" s="1"/>
  <c r="S5" i="3"/>
  <c r="S7" i="3"/>
  <c r="S8" i="3"/>
</calcChain>
</file>

<file path=xl/sharedStrings.xml><?xml version="1.0" encoding="utf-8"?>
<sst xmlns="http://schemas.openxmlformats.org/spreadsheetml/2006/main" count="92" uniqueCount="33">
  <si>
    <t>Plano ST</t>
  </si>
  <si>
    <t>Quem vai</t>
  </si>
  <si>
    <t>Local</t>
  </si>
  <si>
    <t>Valor</t>
  </si>
  <si>
    <t>Plano</t>
  </si>
  <si>
    <t>Vermelho</t>
  </si>
  <si>
    <t>André e Davi</t>
  </si>
  <si>
    <t>Azul</t>
  </si>
  <si>
    <t>Branco</t>
  </si>
  <si>
    <t>Preto</t>
  </si>
  <si>
    <t>Cadeira</t>
  </si>
  <si>
    <t>Tricolor</t>
  </si>
  <si>
    <t>Diamante</t>
  </si>
  <si>
    <t>Família</t>
  </si>
  <si>
    <t>Vermelha</t>
  </si>
  <si>
    <t>Vermelha Meia</t>
  </si>
  <si>
    <t>% Desconto</t>
  </si>
  <si>
    <t>ST</t>
  </si>
  <si>
    <t>Dependentes</t>
  </si>
  <si>
    <t>Setor</t>
  </si>
  <si>
    <t>Cadeira Especial</t>
  </si>
  <si>
    <t>% Desc ST</t>
  </si>
  <si>
    <t>Valor Plano ST</t>
  </si>
  <si>
    <t>Valor Ingresso ST</t>
  </si>
  <si>
    <t>Valor Dependente</t>
  </si>
  <si>
    <t>Valor Convidado</t>
  </si>
  <si>
    <t>Convidado</t>
  </si>
  <si>
    <t>Valor Ingresso Normal</t>
  </si>
  <si>
    <t>Valor Referência Meia Entrada</t>
  </si>
  <si>
    <t>Delta</t>
  </si>
  <si>
    <t>Valor Referência Meia Entrada 2 jogos</t>
  </si>
  <si>
    <t>Valor Referência Meia Entrada 0,5 jogos</t>
  </si>
  <si>
    <t>Custo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</si>
</sst>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8" fontId="0" fillId="0" borderId="0" xfId="0" applyNumberFormat="1"/>
    <xf numFmtId="0" fontId="0" fillId="0" borderId="1" xfId="0" applyBorder="1"/>
    <xf numFmtId="8" fontId="0" fillId="0" borderId="1" xfId="0" applyNumberFormat="1" applyBorder="1"/>
    <xf numFmtId="0" fontId="2" fillId="2" borderId="1" xfId="0" applyFont="1" applyFill="1" applyBorder="1"/>
    <xf numFmtId="9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Fill="1" applyBorder="1"/>
    <xf numFmtId="8" fontId="0" fillId="0" borderId="1" xfId="0" applyNumberFormat="1" applyFill="1" applyBorder="1"/>
    <xf numFmtId="9" fontId="0" fillId="0" borderId="1" xfId="1" applyFont="1" applyFill="1" applyBorder="1"/>
    <xf numFmtId="8" fontId="3" fillId="0" borderId="1" xfId="0" applyNumberFormat="1" applyFont="1" applyFill="1" applyBorder="1"/>
    <xf numFmtId="0" fontId="0" fillId="0" borderId="0" xfId="0" applyFill="1"/>
    <xf numFmtId="8" fontId="0" fillId="0" borderId="0" xfId="0" applyNumberForma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00B36-0788-41E9-A397-9719D0324D15}">
  <dimension ref="A1:X14"/>
  <sheetViews>
    <sheetView showGridLines="0" tabSelected="1" workbookViewId="0">
      <selection activeCell="Q17" sqref="Q17"/>
    </sheetView>
  </sheetViews>
  <sheetFormatPr defaultRowHeight="15" x14ac:dyDescent="0.25"/>
  <cols>
    <col min="2" max="2" width="4.85546875" customWidth="1"/>
    <col min="3" max="3" width="5" customWidth="1"/>
    <col min="4" max="4" width="7.85546875" customWidth="1"/>
    <col min="5" max="5" width="14.7109375" bestFit="1" customWidth="1"/>
    <col min="6" max="6" width="13.5703125" customWidth="1"/>
    <col min="7" max="7" width="7.85546875" customWidth="1"/>
    <col min="8" max="8" width="10.28515625" customWidth="1"/>
    <col min="9" max="9" width="12" customWidth="1"/>
    <col min="10" max="10" width="11.28515625" customWidth="1"/>
    <col min="11" max="11" width="10.5703125" customWidth="1"/>
    <col min="13" max="13" width="3.42578125" customWidth="1"/>
    <col min="14" max="14" width="15.85546875" bestFit="1" customWidth="1"/>
    <col min="17" max="17" width="19.5703125" bestFit="1" customWidth="1"/>
    <col min="18" max="18" width="9.28515625" bestFit="1" customWidth="1"/>
    <col min="19" max="19" width="10" bestFit="1" customWidth="1"/>
    <col min="21" max="21" width="19.5703125" customWidth="1"/>
    <col min="22" max="22" width="10.85546875" bestFit="1" customWidth="1"/>
    <col min="23" max="23" width="10" bestFit="1" customWidth="1"/>
  </cols>
  <sheetData>
    <row r="1" spans="1:24" ht="30" customHeight="1" x14ac:dyDescent="0.25">
      <c r="A1" s="6" t="s">
        <v>0</v>
      </c>
      <c r="B1" s="6" t="s">
        <v>17</v>
      </c>
      <c r="C1" s="6" t="s">
        <v>18</v>
      </c>
      <c r="D1" s="6" t="s">
        <v>26</v>
      </c>
      <c r="E1" s="6" t="s">
        <v>2</v>
      </c>
      <c r="F1" s="6" t="s">
        <v>27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3</v>
      </c>
      <c r="N1" s="7" t="s">
        <v>28</v>
      </c>
      <c r="O1" s="7" t="s">
        <v>29</v>
      </c>
      <c r="Q1" s="7" t="s">
        <v>30</v>
      </c>
      <c r="R1" s="7" t="s">
        <v>32</v>
      </c>
      <c r="S1" s="7" t="s">
        <v>29</v>
      </c>
      <c r="U1" s="7" t="s">
        <v>31</v>
      </c>
      <c r="V1" s="7" t="s">
        <v>32</v>
      </c>
      <c r="W1" s="7" t="s">
        <v>29</v>
      </c>
    </row>
    <row r="2" spans="1:24" x14ac:dyDescent="0.25">
      <c r="A2" s="8" t="s">
        <v>5</v>
      </c>
      <c r="B2" s="8">
        <v>1</v>
      </c>
      <c r="C2" s="8">
        <v>0</v>
      </c>
      <c r="D2" s="8">
        <v>0</v>
      </c>
      <c r="E2" s="8" t="s">
        <v>7</v>
      </c>
      <c r="F2" s="9">
        <f>VLOOKUP(E2,Planilha2!$E$2:$F$6,2,0)</f>
        <v>80</v>
      </c>
      <c r="G2" s="10">
        <f>VLOOKUP($A2,Planilha2!$A$2:$C$6,3,0)</f>
        <v>0.5</v>
      </c>
      <c r="H2" s="9">
        <f>VLOOKUP($A2,Planilha2!$A$2:$C$6,2,0)</f>
        <v>18.989999999999998</v>
      </c>
      <c r="I2" s="9">
        <f>F2*(1-G2)</f>
        <v>40</v>
      </c>
      <c r="J2" s="9">
        <f>0.3*C2</f>
        <v>0</v>
      </c>
      <c r="K2" s="9">
        <f>F2*D2</f>
        <v>0</v>
      </c>
      <c r="L2" s="11">
        <f>SUM(H2:K2)*1.1</f>
        <v>64.888999999999996</v>
      </c>
      <c r="M2" s="12"/>
      <c r="N2" s="13">
        <f>(F2/2*SUM(B2:D2))*1.1</f>
        <v>44</v>
      </c>
      <c r="O2" s="13">
        <f>L2-N2</f>
        <v>20.888999999999996</v>
      </c>
      <c r="P2" s="12"/>
      <c r="Q2" s="13">
        <f>N2*2</f>
        <v>88</v>
      </c>
      <c r="R2" s="13">
        <f>SUM(I2:K2)+L2</f>
        <v>104.889</v>
      </c>
      <c r="S2" s="13">
        <f>R2-Q2</f>
        <v>16.888999999999996</v>
      </c>
      <c r="T2" s="12"/>
      <c r="U2" s="13">
        <f t="shared" ref="U2:U3" si="0">N2*3</f>
        <v>132</v>
      </c>
      <c r="V2" s="13">
        <f>(H2*6)+(SUM(I2:K2)*3)</f>
        <v>233.94</v>
      </c>
      <c r="W2" s="13">
        <f>V2-U2</f>
        <v>101.94</v>
      </c>
      <c r="X2" s="1"/>
    </row>
    <row r="3" spans="1:24" x14ac:dyDescent="0.25">
      <c r="A3" s="8" t="s">
        <v>8</v>
      </c>
      <c r="B3" s="8">
        <v>1</v>
      </c>
      <c r="C3" s="8">
        <v>0</v>
      </c>
      <c r="D3" s="8">
        <v>0</v>
      </c>
      <c r="E3" s="8" t="s">
        <v>7</v>
      </c>
      <c r="F3" s="9">
        <f>VLOOKUP(E3,Planilha2!$E$2:$F$6,2,0)</f>
        <v>80</v>
      </c>
      <c r="G3" s="10">
        <f>VLOOKUP($A3,Planilha2!$A$2:$C$6,3,0)</f>
        <v>0.7</v>
      </c>
      <c r="H3" s="9">
        <f>VLOOKUP($A3,Planilha2!$A$2:$C$6,2,0)</f>
        <v>35.99</v>
      </c>
      <c r="I3" s="9">
        <f t="shared" ref="I3:I4" si="1">F3*(1-G3)</f>
        <v>24.000000000000004</v>
      </c>
      <c r="J3" s="9">
        <f t="shared" ref="J3:J4" si="2">0.3*C3</f>
        <v>0</v>
      </c>
      <c r="K3" s="9">
        <f t="shared" ref="K3:K4" si="3">F3*D3</f>
        <v>0</v>
      </c>
      <c r="L3" s="11">
        <f t="shared" ref="L3" si="4">SUM(H3:K3)*1.1</f>
        <v>65.989000000000019</v>
      </c>
      <c r="M3" s="12"/>
      <c r="N3" s="13">
        <f t="shared" ref="N3:N4" si="5">(F3/2*SUM(B3:D3))*1.1</f>
        <v>44</v>
      </c>
      <c r="O3" s="13">
        <f t="shared" ref="O3:O4" si="6">L3-N3</f>
        <v>21.989000000000019</v>
      </c>
      <c r="P3" s="12"/>
      <c r="Q3" s="13">
        <f t="shared" ref="Q3:Q4" si="7">N3*2</f>
        <v>88</v>
      </c>
      <c r="R3" s="13">
        <f t="shared" ref="R3:R4" si="8">SUM(I3:K3)+L3</f>
        <v>89.989000000000019</v>
      </c>
      <c r="S3" s="13">
        <f t="shared" ref="S3:S4" si="9">R3-Q3</f>
        <v>1.9890000000000185</v>
      </c>
      <c r="T3" s="12"/>
      <c r="U3" s="13">
        <f t="shared" si="0"/>
        <v>132</v>
      </c>
      <c r="V3" s="13">
        <f t="shared" ref="V3:V4" si="10">(H3*6)+(SUM(I3:K3)*3)</f>
        <v>287.94</v>
      </c>
      <c r="W3" s="13">
        <f t="shared" ref="W3:W4" si="11">V3-U3</f>
        <v>155.94</v>
      </c>
      <c r="X3" s="1"/>
    </row>
    <row r="4" spans="1:24" x14ac:dyDescent="0.25">
      <c r="A4" s="8" t="s">
        <v>9</v>
      </c>
      <c r="B4" s="8">
        <v>1</v>
      </c>
      <c r="C4" s="8">
        <v>0</v>
      </c>
      <c r="D4" s="8">
        <v>0</v>
      </c>
      <c r="E4" s="8" t="s">
        <v>20</v>
      </c>
      <c r="F4" s="9">
        <f>VLOOKUP(E4,Planilha2!$E$2:$F$6,2,0)</f>
        <v>150</v>
      </c>
      <c r="G4" s="10">
        <f>VLOOKUP($A4,Planilha2!$A$2:$C$6,3,0)</f>
        <v>0.7</v>
      </c>
      <c r="H4" s="9">
        <f>VLOOKUP($A4,Planilha2!$A$2:$C$6,2,0)</f>
        <v>74.989999999999995</v>
      </c>
      <c r="I4" s="9">
        <f t="shared" si="1"/>
        <v>45.000000000000007</v>
      </c>
      <c r="J4" s="9">
        <f t="shared" si="2"/>
        <v>0</v>
      </c>
      <c r="K4" s="9">
        <f t="shared" si="3"/>
        <v>0</v>
      </c>
      <c r="L4" s="11">
        <f>SUM(H4:K4)*1.1</f>
        <v>131.98900000000003</v>
      </c>
      <c r="M4" s="12"/>
      <c r="N4" s="13">
        <f t="shared" si="5"/>
        <v>82.5</v>
      </c>
      <c r="O4" s="13">
        <f t="shared" si="6"/>
        <v>49.489000000000033</v>
      </c>
      <c r="P4" s="12"/>
      <c r="Q4" s="13">
        <f t="shared" si="7"/>
        <v>165</v>
      </c>
      <c r="R4" s="13">
        <f t="shared" si="8"/>
        <v>176.98900000000003</v>
      </c>
      <c r="S4" s="13">
        <f t="shared" si="9"/>
        <v>11.989000000000033</v>
      </c>
      <c r="T4" s="12"/>
      <c r="U4" s="13">
        <f>N4*3</f>
        <v>247.5</v>
      </c>
      <c r="V4" s="13">
        <f t="shared" si="10"/>
        <v>584.93999999999994</v>
      </c>
      <c r="W4" s="13">
        <f t="shared" si="11"/>
        <v>337.43999999999994</v>
      </c>
      <c r="X4" s="1"/>
    </row>
    <row r="5" spans="1:24" x14ac:dyDescent="0.25">
      <c r="A5" s="8" t="s">
        <v>5</v>
      </c>
      <c r="B5" s="8">
        <v>1</v>
      </c>
      <c r="C5" s="8">
        <v>1</v>
      </c>
      <c r="D5" s="8">
        <v>0</v>
      </c>
      <c r="E5" s="8" t="s">
        <v>7</v>
      </c>
      <c r="F5" s="9">
        <f>VLOOKUP(E5,Planilha2!$E$2:$F$6,2,0)</f>
        <v>80</v>
      </c>
      <c r="G5" s="10">
        <f>VLOOKUP($A5,Planilha2!$A$2:$C$6,3,0)</f>
        <v>0.5</v>
      </c>
      <c r="H5" s="9">
        <f>VLOOKUP($A5,Planilha2!$A$2:$C$6,2,0)</f>
        <v>18.989999999999998</v>
      </c>
      <c r="I5" s="9">
        <f>F5*(1-G5)</f>
        <v>40</v>
      </c>
      <c r="J5" s="9">
        <f>0.3*C5</f>
        <v>0.3</v>
      </c>
      <c r="K5" s="9">
        <f>F5*D5</f>
        <v>0</v>
      </c>
      <c r="L5" s="11">
        <f>SUM(H5:K5)*1.1</f>
        <v>65.218999999999994</v>
      </c>
      <c r="M5" s="12"/>
      <c r="N5" s="13">
        <f>(F5/2*SUM(B5:D5))*1.1</f>
        <v>88</v>
      </c>
      <c r="O5" s="13">
        <f>L5-N5</f>
        <v>-22.781000000000006</v>
      </c>
      <c r="P5" s="12"/>
      <c r="Q5" s="13">
        <f>N5*2</f>
        <v>176</v>
      </c>
      <c r="R5" s="13">
        <f>SUM(I5:K5)+L5</f>
        <v>105.51899999999999</v>
      </c>
      <c r="S5" s="13">
        <f>R5-Q5</f>
        <v>-70.481000000000009</v>
      </c>
      <c r="T5" s="12"/>
      <c r="U5" s="13">
        <f t="shared" ref="U5:U10" si="12">N5*3</f>
        <v>264</v>
      </c>
      <c r="V5" s="13">
        <f>(H5*6)+(SUM(I5:K5)*3)</f>
        <v>234.83999999999997</v>
      </c>
      <c r="W5" s="13">
        <f>V5-U5</f>
        <v>-29.160000000000025</v>
      </c>
      <c r="X5" s="1"/>
    </row>
    <row r="6" spans="1:24" x14ac:dyDescent="0.25">
      <c r="A6" s="8" t="s">
        <v>8</v>
      </c>
      <c r="B6" s="8">
        <v>1</v>
      </c>
      <c r="C6" s="8">
        <v>1</v>
      </c>
      <c r="D6" s="8">
        <v>0</v>
      </c>
      <c r="E6" s="8" t="s">
        <v>7</v>
      </c>
      <c r="F6" s="9">
        <f>VLOOKUP(E6,Planilha2!$E$2:$F$6,2,0)</f>
        <v>80</v>
      </c>
      <c r="G6" s="10">
        <f>VLOOKUP($A6,Planilha2!$A$2:$C$6,3,0)</f>
        <v>0.7</v>
      </c>
      <c r="H6" s="9">
        <f>VLOOKUP($A6,Planilha2!$A$2:$C$6,2,0)</f>
        <v>35.99</v>
      </c>
      <c r="I6" s="9">
        <f t="shared" ref="I6:I14" si="13">F6*(1-G6)</f>
        <v>24.000000000000004</v>
      </c>
      <c r="J6" s="9">
        <f t="shared" ref="J6:J14" si="14">0.3*C6</f>
        <v>0.3</v>
      </c>
      <c r="K6" s="9">
        <f t="shared" ref="K6:K13" si="15">F6*D6</f>
        <v>0</v>
      </c>
      <c r="L6" s="11">
        <f t="shared" ref="L6:L14" si="16">SUM(H6:K6)*1.1</f>
        <v>66.319000000000017</v>
      </c>
      <c r="M6" s="12"/>
      <c r="N6" s="13">
        <f t="shared" ref="N6:N14" si="17">(F6/2*SUM(B6:D6))*1.1</f>
        <v>88</v>
      </c>
      <c r="O6" s="13">
        <f t="shared" ref="O6:O14" si="18">L6-N6</f>
        <v>-21.680999999999983</v>
      </c>
      <c r="P6" s="12"/>
      <c r="Q6" s="13">
        <f t="shared" ref="Q6:Q14" si="19">N6*2</f>
        <v>176</v>
      </c>
      <c r="R6" s="13">
        <f t="shared" ref="R6:R14" si="20">SUM(I6:K6)+L6</f>
        <v>90.619000000000028</v>
      </c>
      <c r="S6" s="13">
        <f t="shared" ref="S6:S14" si="21">R6-Q6</f>
        <v>-85.380999999999972</v>
      </c>
      <c r="T6" s="12"/>
      <c r="U6" s="13">
        <f t="shared" si="12"/>
        <v>264</v>
      </c>
      <c r="V6" s="13">
        <f t="shared" ref="V6:V14" si="22">(H6*6)+(SUM(I6:K6)*3)</f>
        <v>288.84000000000003</v>
      </c>
      <c r="W6" s="13">
        <f t="shared" ref="W6:W14" si="23">V6-U6</f>
        <v>24.840000000000032</v>
      </c>
      <c r="X6" s="1"/>
    </row>
    <row r="7" spans="1:24" x14ac:dyDescent="0.25">
      <c r="A7" s="8" t="s">
        <v>9</v>
      </c>
      <c r="B7" s="8">
        <v>1</v>
      </c>
      <c r="C7" s="8">
        <v>1</v>
      </c>
      <c r="D7" s="8">
        <v>0</v>
      </c>
      <c r="E7" s="8" t="s">
        <v>20</v>
      </c>
      <c r="F7" s="9">
        <f>VLOOKUP(E7,Planilha2!$E$2:$F$6,2,0)</f>
        <v>150</v>
      </c>
      <c r="G7" s="10">
        <f>VLOOKUP($A7,Planilha2!$A$2:$C$6,3,0)</f>
        <v>0.7</v>
      </c>
      <c r="H7" s="9">
        <f>VLOOKUP($A7,Planilha2!$A$2:$C$6,2,0)</f>
        <v>74.989999999999995</v>
      </c>
      <c r="I7" s="9">
        <f t="shared" si="13"/>
        <v>45.000000000000007</v>
      </c>
      <c r="J7" s="9">
        <f t="shared" si="14"/>
        <v>0.3</v>
      </c>
      <c r="K7" s="9">
        <f t="shared" si="15"/>
        <v>0</v>
      </c>
      <c r="L7" s="11">
        <f t="shared" si="16"/>
        <v>132.31900000000002</v>
      </c>
      <c r="M7" s="12"/>
      <c r="N7" s="13">
        <f t="shared" si="17"/>
        <v>165</v>
      </c>
      <c r="O7" s="13">
        <f t="shared" si="18"/>
        <v>-32.680999999999983</v>
      </c>
      <c r="P7" s="12"/>
      <c r="Q7" s="13">
        <f t="shared" si="19"/>
        <v>330</v>
      </c>
      <c r="R7" s="13">
        <f t="shared" si="20"/>
        <v>177.61900000000003</v>
      </c>
      <c r="S7" s="13">
        <f t="shared" si="21"/>
        <v>-152.38099999999997</v>
      </c>
      <c r="T7" s="12"/>
      <c r="U7" s="13">
        <f t="shared" si="12"/>
        <v>495</v>
      </c>
      <c r="V7" s="13">
        <f t="shared" si="22"/>
        <v>585.83999999999992</v>
      </c>
      <c r="W7" s="13">
        <f t="shared" si="23"/>
        <v>90.839999999999918</v>
      </c>
      <c r="X7" s="1"/>
    </row>
    <row r="8" spans="1:24" x14ac:dyDescent="0.25">
      <c r="A8" s="8" t="s">
        <v>11</v>
      </c>
      <c r="B8" s="8">
        <v>1</v>
      </c>
      <c r="C8" s="8">
        <v>1</v>
      </c>
      <c r="D8" s="8">
        <v>0</v>
      </c>
      <c r="E8" s="8" t="s">
        <v>20</v>
      </c>
      <c r="F8" s="9">
        <f>VLOOKUP(E8,Planilha2!$E$2:$F$6,2,0)</f>
        <v>150</v>
      </c>
      <c r="G8" s="10">
        <f>VLOOKUP($A8,Planilha2!$A$2:$C$6,3,0)</f>
        <v>0.8</v>
      </c>
      <c r="H8" s="9">
        <f>VLOOKUP($A8,Planilha2!$A$2:$C$6,2,0)</f>
        <v>115.99</v>
      </c>
      <c r="I8" s="9">
        <f t="shared" si="13"/>
        <v>29.999999999999993</v>
      </c>
      <c r="J8" s="9">
        <f t="shared" si="14"/>
        <v>0.3</v>
      </c>
      <c r="K8" s="9">
        <f t="shared" si="15"/>
        <v>0</v>
      </c>
      <c r="L8" s="11">
        <f t="shared" si="16"/>
        <v>160.91900000000001</v>
      </c>
      <c r="M8" s="12"/>
      <c r="N8" s="13">
        <f t="shared" si="17"/>
        <v>165</v>
      </c>
      <c r="O8" s="13">
        <f t="shared" si="18"/>
        <v>-4.0809999999999889</v>
      </c>
      <c r="P8" s="12"/>
      <c r="Q8" s="13">
        <f t="shared" si="19"/>
        <v>330</v>
      </c>
      <c r="R8" s="13">
        <f t="shared" si="20"/>
        <v>191.21899999999999</v>
      </c>
      <c r="S8" s="13">
        <f t="shared" si="21"/>
        <v>-138.78100000000001</v>
      </c>
      <c r="T8" s="12"/>
      <c r="U8" s="13">
        <f t="shared" si="12"/>
        <v>495</v>
      </c>
      <c r="V8" s="13">
        <f t="shared" si="22"/>
        <v>786.83999999999992</v>
      </c>
      <c r="W8" s="13">
        <f t="shared" si="23"/>
        <v>291.83999999999992</v>
      </c>
      <c r="X8" s="1"/>
    </row>
    <row r="9" spans="1:24" x14ac:dyDescent="0.25">
      <c r="A9" s="8" t="s">
        <v>12</v>
      </c>
      <c r="B9" s="8">
        <v>1</v>
      </c>
      <c r="C9" s="8">
        <v>1</v>
      </c>
      <c r="D9" s="8">
        <v>0</v>
      </c>
      <c r="E9" s="8" t="s">
        <v>20</v>
      </c>
      <c r="F9" s="9">
        <f>VLOOKUP(E9,Planilha2!$E$2:$F$6,2,0)</f>
        <v>150</v>
      </c>
      <c r="G9" s="10">
        <f>VLOOKUP($A9,Planilha2!$A$2:$C$6,3,0)</f>
        <v>0.99</v>
      </c>
      <c r="H9" s="9">
        <f>VLOOKUP($A9,Planilha2!$A$2:$C$6,2,0)</f>
        <v>199.99</v>
      </c>
      <c r="I9" s="9">
        <f t="shared" si="13"/>
        <v>1.5000000000000013</v>
      </c>
      <c r="J9" s="9">
        <f t="shared" si="14"/>
        <v>0.3</v>
      </c>
      <c r="K9" s="9">
        <f t="shared" si="15"/>
        <v>0</v>
      </c>
      <c r="L9" s="11">
        <f t="shared" si="16"/>
        <v>221.96900000000005</v>
      </c>
      <c r="M9" s="12"/>
      <c r="N9" s="13">
        <f t="shared" si="17"/>
        <v>165</v>
      </c>
      <c r="O9" s="13">
        <f t="shared" si="18"/>
        <v>56.969000000000051</v>
      </c>
      <c r="P9" s="12"/>
      <c r="Q9" s="13">
        <f t="shared" si="19"/>
        <v>330</v>
      </c>
      <c r="R9" s="13">
        <f t="shared" si="20"/>
        <v>223.76900000000006</v>
      </c>
      <c r="S9" s="13">
        <f t="shared" si="21"/>
        <v>-106.23099999999994</v>
      </c>
      <c r="T9" s="12"/>
      <c r="U9" s="13">
        <f t="shared" si="12"/>
        <v>495</v>
      </c>
      <c r="V9" s="13">
        <f t="shared" si="22"/>
        <v>1205.3400000000001</v>
      </c>
      <c r="W9" s="13">
        <f t="shared" si="23"/>
        <v>710.34000000000015</v>
      </c>
      <c r="X9" s="1"/>
    </row>
    <row r="10" spans="1:24" x14ac:dyDescent="0.25">
      <c r="A10" s="8" t="s">
        <v>9</v>
      </c>
      <c r="B10" s="8">
        <v>1</v>
      </c>
      <c r="C10" s="8">
        <v>2</v>
      </c>
      <c r="D10" s="8">
        <v>1</v>
      </c>
      <c r="E10" s="8" t="s">
        <v>20</v>
      </c>
      <c r="F10" s="9">
        <f>VLOOKUP(E10,Planilha2!$E$2:$F$6,2,0)</f>
        <v>150</v>
      </c>
      <c r="G10" s="10">
        <f>VLOOKUP($A10,Planilha2!$A$2:$C$6,3,0)</f>
        <v>0.7</v>
      </c>
      <c r="H10" s="9">
        <f>VLOOKUP($A10,Planilha2!$A$2:$C$6,2,0)</f>
        <v>74.989999999999995</v>
      </c>
      <c r="I10" s="9">
        <f t="shared" si="13"/>
        <v>45.000000000000007</v>
      </c>
      <c r="J10" s="9">
        <f t="shared" si="14"/>
        <v>0.6</v>
      </c>
      <c r="K10" s="9">
        <f t="shared" si="15"/>
        <v>150</v>
      </c>
      <c r="L10" s="11">
        <f>SUM(H10:K10)*1.1</f>
        <v>297.64900000000006</v>
      </c>
      <c r="M10" s="12"/>
      <c r="N10" s="13">
        <f t="shared" si="17"/>
        <v>330</v>
      </c>
      <c r="O10" s="13">
        <f t="shared" si="18"/>
        <v>-32.350999999999942</v>
      </c>
      <c r="P10" s="12"/>
      <c r="Q10" s="13">
        <f t="shared" si="19"/>
        <v>660</v>
      </c>
      <c r="R10" s="13">
        <f t="shared" si="20"/>
        <v>493.24900000000008</v>
      </c>
      <c r="S10" s="13">
        <f t="shared" si="21"/>
        <v>-166.75099999999992</v>
      </c>
      <c r="T10" s="12"/>
      <c r="U10" s="13">
        <f>N10*3</f>
        <v>990</v>
      </c>
      <c r="V10" s="13">
        <f t="shared" si="22"/>
        <v>1036.74</v>
      </c>
      <c r="W10" s="13">
        <f t="shared" si="23"/>
        <v>46.740000000000009</v>
      </c>
      <c r="X10" s="1"/>
    </row>
    <row r="11" spans="1:24" x14ac:dyDescent="0.25">
      <c r="A11" s="8" t="s">
        <v>11</v>
      </c>
      <c r="B11" s="8">
        <v>1</v>
      </c>
      <c r="C11" s="8">
        <v>2</v>
      </c>
      <c r="D11" s="8">
        <v>1</v>
      </c>
      <c r="E11" s="8" t="s">
        <v>20</v>
      </c>
      <c r="F11" s="9">
        <f>VLOOKUP(E11,Planilha2!$E$2:$F$6,2,0)</f>
        <v>150</v>
      </c>
      <c r="G11" s="10">
        <f>VLOOKUP($A11,Planilha2!$A$2:$C$6,3,0)</f>
        <v>0.8</v>
      </c>
      <c r="H11" s="9">
        <f>VLOOKUP($A11,Planilha2!$A$2:$C$6,2,0)</f>
        <v>115.99</v>
      </c>
      <c r="I11" s="9">
        <f t="shared" si="13"/>
        <v>29.999999999999993</v>
      </c>
      <c r="J11" s="9">
        <f t="shared" si="14"/>
        <v>0.6</v>
      </c>
      <c r="K11" s="9">
        <f t="shared" si="15"/>
        <v>150</v>
      </c>
      <c r="L11" s="11">
        <f t="shared" si="16"/>
        <v>326.24900000000002</v>
      </c>
      <c r="M11" s="12"/>
      <c r="N11" s="13">
        <f t="shared" si="17"/>
        <v>330</v>
      </c>
      <c r="O11" s="13">
        <f t="shared" si="18"/>
        <v>-3.7509999999999764</v>
      </c>
      <c r="P11" s="12"/>
      <c r="Q11" s="13">
        <f t="shared" si="19"/>
        <v>660</v>
      </c>
      <c r="R11" s="13">
        <f t="shared" si="20"/>
        <v>506.84900000000005</v>
      </c>
      <c r="S11" s="13">
        <f t="shared" si="21"/>
        <v>-153.15099999999995</v>
      </c>
      <c r="T11" s="12"/>
      <c r="U11" s="13">
        <f t="shared" ref="U11:U14" si="24">N11*3</f>
        <v>990</v>
      </c>
      <c r="V11" s="13">
        <f t="shared" si="22"/>
        <v>1237.7399999999998</v>
      </c>
      <c r="W11" s="13">
        <f t="shared" si="23"/>
        <v>247.73999999999978</v>
      </c>
      <c r="X11" s="1"/>
    </row>
    <row r="12" spans="1:24" x14ac:dyDescent="0.25">
      <c r="A12" s="8" t="s">
        <v>12</v>
      </c>
      <c r="B12" s="8">
        <v>1</v>
      </c>
      <c r="C12" s="8">
        <v>2</v>
      </c>
      <c r="D12" s="8">
        <v>1</v>
      </c>
      <c r="E12" s="8" t="s">
        <v>20</v>
      </c>
      <c r="F12" s="9">
        <f>VLOOKUP(E12,Planilha2!$E$2:$F$6,2,0)</f>
        <v>150</v>
      </c>
      <c r="G12" s="10">
        <f>VLOOKUP($A12,Planilha2!$A$2:$C$6,3,0)</f>
        <v>0.99</v>
      </c>
      <c r="H12" s="9">
        <f>VLOOKUP($A12,Planilha2!$A$2:$C$6,2,0)</f>
        <v>199.99</v>
      </c>
      <c r="I12" s="9">
        <f t="shared" si="13"/>
        <v>1.5000000000000013</v>
      </c>
      <c r="J12" s="9">
        <f t="shared" si="14"/>
        <v>0.6</v>
      </c>
      <c r="K12" s="9">
        <f t="shared" si="15"/>
        <v>150</v>
      </c>
      <c r="L12" s="11">
        <f t="shared" si="16"/>
        <v>387.29900000000009</v>
      </c>
      <c r="M12" s="12"/>
      <c r="N12" s="13">
        <f t="shared" si="17"/>
        <v>330</v>
      </c>
      <c r="O12" s="13">
        <f t="shared" si="18"/>
        <v>57.299000000000092</v>
      </c>
      <c r="P12" s="12"/>
      <c r="Q12" s="13">
        <f t="shared" si="19"/>
        <v>660</v>
      </c>
      <c r="R12" s="13">
        <f t="shared" si="20"/>
        <v>539.39900000000011</v>
      </c>
      <c r="S12" s="13">
        <f t="shared" si="21"/>
        <v>-120.60099999999989</v>
      </c>
      <c r="T12" s="12"/>
      <c r="U12" s="13">
        <f t="shared" si="24"/>
        <v>990</v>
      </c>
      <c r="V12" s="13">
        <f t="shared" si="22"/>
        <v>1656.24</v>
      </c>
      <c r="W12" s="13">
        <f t="shared" si="23"/>
        <v>666.24</v>
      </c>
      <c r="X12" s="1"/>
    </row>
    <row r="13" spans="1:24" x14ac:dyDescent="0.25">
      <c r="A13" s="8" t="s">
        <v>9</v>
      </c>
      <c r="B13" s="8">
        <v>1</v>
      </c>
      <c r="C13" s="8">
        <v>2</v>
      </c>
      <c r="D13" s="8">
        <v>1</v>
      </c>
      <c r="E13" s="8" t="s">
        <v>14</v>
      </c>
      <c r="F13" s="9">
        <f>VLOOKUP(E13,Planilha2!$E$2:$F$6,2,0)</f>
        <v>80</v>
      </c>
      <c r="G13" s="10">
        <f>VLOOKUP($A13,Planilha2!$A$2:$C$6,3,0)</f>
        <v>0.7</v>
      </c>
      <c r="H13" s="9">
        <f>VLOOKUP($A13,Planilha2!$A$2:$C$6,2,0)</f>
        <v>74.989999999999995</v>
      </c>
      <c r="I13" s="9">
        <f t="shared" si="13"/>
        <v>24.000000000000004</v>
      </c>
      <c r="J13" s="9">
        <f t="shared" si="14"/>
        <v>0.6</v>
      </c>
      <c r="K13" s="9">
        <f t="shared" si="15"/>
        <v>80</v>
      </c>
      <c r="L13" s="11">
        <f t="shared" si="16"/>
        <v>197.54899999999998</v>
      </c>
      <c r="M13" s="12"/>
      <c r="N13" s="13">
        <f t="shared" si="17"/>
        <v>176</v>
      </c>
      <c r="O13" s="13">
        <f t="shared" si="18"/>
        <v>21.548999999999978</v>
      </c>
      <c r="P13" s="12"/>
      <c r="Q13" s="13">
        <f t="shared" si="19"/>
        <v>352</v>
      </c>
      <c r="R13" s="13">
        <f t="shared" si="20"/>
        <v>302.149</v>
      </c>
      <c r="S13" s="13">
        <f t="shared" si="21"/>
        <v>-49.850999999999999</v>
      </c>
      <c r="T13" s="12"/>
      <c r="U13" s="13">
        <f t="shared" si="24"/>
        <v>528</v>
      </c>
      <c r="V13" s="13">
        <f t="shared" si="22"/>
        <v>763.74</v>
      </c>
      <c r="W13" s="13">
        <f t="shared" si="23"/>
        <v>235.74</v>
      </c>
      <c r="X13" s="1"/>
    </row>
    <row r="14" spans="1:24" x14ac:dyDescent="0.25">
      <c r="A14" s="8" t="s">
        <v>9</v>
      </c>
      <c r="B14" s="8">
        <v>1</v>
      </c>
      <c r="C14" s="8">
        <v>2</v>
      </c>
      <c r="D14" s="8">
        <v>1</v>
      </c>
      <c r="E14" s="8" t="s">
        <v>14</v>
      </c>
      <c r="F14" s="9">
        <f>VLOOKUP(E14,Planilha2!$E$2:$F$6,2,0)</f>
        <v>80</v>
      </c>
      <c r="G14" s="10">
        <f>VLOOKUP($A14,Planilha2!$A$2:$C$6,3,0)</f>
        <v>0.7</v>
      </c>
      <c r="H14" s="9">
        <f>VLOOKUP($A14,Planilha2!$A$2:$C$6,2,0)</f>
        <v>74.989999999999995</v>
      </c>
      <c r="I14" s="9">
        <f t="shared" si="13"/>
        <v>24.000000000000004</v>
      </c>
      <c r="J14" s="9">
        <f t="shared" si="14"/>
        <v>0.6</v>
      </c>
      <c r="K14" s="9">
        <v>40</v>
      </c>
      <c r="L14" s="11">
        <f t="shared" si="16"/>
        <v>153.54899999999998</v>
      </c>
      <c r="M14" s="12"/>
      <c r="N14" s="13">
        <f t="shared" si="17"/>
        <v>176</v>
      </c>
      <c r="O14" s="13">
        <f t="shared" si="18"/>
        <v>-22.451000000000022</v>
      </c>
      <c r="P14" s="12"/>
      <c r="Q14" s="13">
        <f t="shared" si="19"/>
        <v>352</v>
      </c>
      <c r="R14" s="13">
        <f t="shared" si="20"/>
        <v>218.149</v>
      </c>
      <c r="S14" s="13">
        <f t="shared" si="21"/>
        <v>-133.851</v>
      </c>
      <c r="T14" s="12"/>
      <c r="U14" s="13">
        <f t="shared" si="24"/>
        <v>528</v>
      </c>
      <c r="V14" s="13">
        <f t="shared" si="22"/>
        <v>643.74</v>
      </c>
      <c r="W14" s="13">
        <f t="shared" si="23"/>
        <v>115.74000000000001</v>
      </c>
      <c r="X14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EC12-0FE4-4BDA-9C7F-34F448E061CA}">
  <dimension ref="A1:E11"/>
  <sheetViews>
    <sheetView showGridLines="0" workbookViewId="0"/>
  </sheetViews>
  <sheetFormatPr defaultRowHeight="15" x14ac:dyDescent="0.25"/>
  <cols>
    <col min="2" max="2" width="12.28515625" bestFit="1" customWidth="1"/>
    <col min="3" max="3" width="14.7109375" bestFit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5" x14ac:dyDescent="0.25">
      <c r="A2" s="2" t="s">
        <v>5</v>
      </c>
      <c r="B2" s="2" t="s">
        <v>6</v>
      </c>
      <c r="C2" s="2" t="s">
        <v>7</v>
      </c>
      <c r="D2" s="3">
        <v>100</v>
      </c>
      <c r="E2" s="1">
        <f>D2*1.1</f>
        <v>110.00000000000001</v>
      </c>
    </row>
    <row r="3" spans="1:5" x14ac:dyDescent="0.25">
      <c r="A3" s="2" t="s">
        <v>8</v>
      </c>
      <c r="B3" s="2" t="s">
        <v>6</v>
      </c>
      <c r="C3" s="2" t="s">
        <v>7</v>
      </c>
      <c r="D3" s="3">
        <f>160*0.3+34</f>
        <v>82</v>
      </c>
      <c r="E3" s="1">
        <f t="shared" ref="E3:E11" si="0">D3*1.1</f>
        <v>90.2</v>
      </c>
    </row>
    <row r="4" spans="1:5" x14ac:dyDescent="0.25">
      <c r="A4" s="2" t="s">
        <v>9</v>
      </c>
      <c r="B4" s="2" t="s">
        <v>6</v>
      </c>
      <c r="C4" s="2" t="s">
        <v>10</v>
      </c>
      <c r="D4" s="3">
        <f>300*0.3+72</f>
        <v>162</v>
      </c>
      <c r="E4" s="1">
        <f t="shared" si="0"/>
        <v>178.20000000000002</v>
      </c>
    </row>
    <row r="5" spans="1:5" x14ac:dyDescent="0.25">
      <c r="A5" s="2" t="s">
        <v>11</v>
      </c>
      <c r="B5" s="2" t="s">
        <v>6</v>
      </c>
      <c r="C5" s="2" t="s">
        <v>10</v>
      </c>
      <c r="D5" s="3">
        <f>300*0.2+111</f>
        <v>171</v>
      </c>
      <c r="E5" s="1">
        <f t="shared" si="0"/>
        <v>188.10000000000002</v>
      </c>
    </row>
    <row r="6" spans="1:5" x14ac:dyDescent="0.25">
      <c r="A6" s="2" t="s">
        <v>12</v>
      </c>
      <c r="B6" s="2" t="s">
        <v>6</v>
      </c>
      <c r="C6" s="2" t="s">
        <v>10</v>
      </c>
      <c r="D6" s="3">
        <v>192.6</v>
      </c>
      <c r="E6" s="1">
        <f t="shared" si="0"/>
        <v>211.86</v>
      </c>
    </row>
    <row r="7" spans="1:5" x14ac:dyDescent="0.25">
      <c r="A7" s="2" t="s">
        <v>9</v>
      </c>
      <c r="B7" s="2" t="s">
        <v>13</v>
      </c>
      <c r="C7" s="2" t="s">
        <v>10</v>
      </c>
      <c r="D7" s="3">
        <f>450*0.3+72+150</f>
        <v>357</v>
      </c>
      <c r="E7" s="1">
        <f t="shared" si="0"/>
        <v>392.70000000000005</v>
      </c>
    </row>
    <row r="8" spans="1:5" x14ac:dyDescent="0.25">
      <c r="A8" s="2" t="s">
        <v>11</v>
      </c>
      <c r="B8" s="2" t="s">
        <v>13</v>
      </c>
      <c r="C8" s="2" t="s">
        <v>10</v>
      </c>
      <c r="D8" s="3">
        <f>450*0.2+111+150</f>
        <v>351</v>
      </c>
      <c r="E8" s="1">
        <f t="shared" si="0"/>
        <v>386.1</v>
      </c>
    </row>
    <row r="9" spans="1:5" x14ac:dyDescent="0.25">
      <c r="A9" s="2" t="s">
        <v>12</v>
      </c>
      <c r="B9" s="2" t="s">
        <v>13</v>
      </c>
      <c r="C9" s="2" t="s">
        <v>10</v>
      </c>
      <c r="D9" s="3">
        <f>193+150</f>
        <v>343</v>
      </c>
      <c r="E9" s="1">
        <f t="shared" si="0"/>
        <v>377.3</v>
      </c>
    </row>
    <row r="10" spans="1:5" x14ac:dyDescent="0.25">
      <c r="A10" s="2" t="s">
        <v>9</v>
      </c>
      <c r="B10" s="2" t="s">
        <v>13</v>
      </c>
      <c r="C10" s="2" t="s">
        <v>14</v>
      </c>
      <c r="D10" s="3">
        <f>240*0.3+72+80</f>
        <v>224</v>
      </c>
      <c r="E10" s="1">
        <f t="shared" si="0"/>
        <v>246.40000000000003</v>
      </c>
    </row>
    <row r="11" spans="1:5" x14ac:dyDescent="0.25">
      <c r="A11" s="2" t="s">
        <v>9</v>
      </c>
      <c r="B11" s="2" t="s">
        <v>13</v>
      </c>
      <c r="C11" s="2" t="s">
        <v>15</v>
      </c>
      <c r="D11" s="3">
        <f>240*0.3+72+40</f>
        <v>184</v>
      </c>
      <c r="E11" s="1">
        <f t="shared" si="0"/>
        <v>202.4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1C44-853A-4F32-A14C-04EE7232D35F}">
  <dimension ref="A1:F6"/>
  <sheetViews>
    <sheetView workbookViewId="0">
      <selection activeCell="B7" sqref="B7"/>
    </sheetView>
  </sheetViews>
  <sheetFormatPr defaultRowHeight="15" x14ac:dyDescent="0.25"/>
  <cols>
    <col min="5" max="5" width="15.42578125" bestFit="1" customWidth="1"/>
  </cols>
  <sheetData>
    <row r="1" spans="1:6" x14ac:dyDescent="0.25">
      <c r="A1" t="s">
        <v>4</v>
      </c>
      <c r="B1" t="s">
        <v>3</v>
      </c>
      <c r="C1" t="s">
        <v>16</v>
      </c>
      <c r="E1" t="s">
        <v>19</v>
      </c>
    </row>
    <row r="2" spans="1:6" x14ac:dyDescent="0.25">
      <c r="A2" t="s">
        <v>5</v>
      </c>
      <c r="B2">
        <v>18.989999999999998</v>
      </c>
      <c r="C2" s="5">
        <v>0.5</v>
      </c>
      <c r="E2" t="s">
        <v>7</v>
      </c>
      <c r="F2">
        <v>80</v>
      </c>
    </row>
    <row r="3" spans="1:6" x14ac:dyDescent="0.25">
      <c r="A3" t="s">
        <v>8</v>
      </c>
      <c r="B3">
        <v>35.99</v>
      </c>
      <c r="C3" s="5">
        <v>0.7</v>
      </c>
      <c r="E3" t="s">
        <v>14</v>
      </c>
      <c r="F3">
        <v>80</v>
      </c>
    </row>
    <row r="4" spans="1:6" x14ac:dyDescent="0.25">
      <c r="A4" t="s">
        <v>9</v>
      </c>
      <c r="B4">
        <v>74.989999999999995</v>
      </c>
      <c r="C4" s="5">
        <v>0.7</v>
      </c>
      <c r="E4" t="s">
        <v>20</v>
      </c>
      <c r="F4">
        <v>150</v>
      </c>
    </row>
    <row r="5" spans="1:6" x14ac:dyDescent="0.25">
      <c r="A5" t="s">
        <v>11</v>
      </c>
      <c r="B5">
        <v>115.99</v>
      </c>
      <c r="C5" s="5">
        <v>0.8</v>
      </c>
    </row>
    <row r="6" spans="1:6" x14ac:dyDescent="0.25">
      <c r="A6" t="s">
        <v>12</v>
      </c>
      <c r="B6">
        <v>199.99</v>
      </c>
      <c r="C6" s="5">
        <v>0.99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 (2)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Pogliesi</dc:creator>
  <cp:lastModifiedBy>André Pogliesi</cp:lastModifiedBy>
  <dcterms:created xsi:type="dcterms:W3CDTF">2023-05-18T11:40:25Z</dcterms:created>
  <dcterms:modified xsi:type="dcterms:W3CDTF">2023-05-22T02:39:10Z</dcterms:modified>
</cp:coreProperties>
</file>